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" sheetId="1" r:id="rId4"/>
    <sheet state="visible" name="FUNCTION" sheetId="2" r:id="rId5"/>
  </sheets>
  <definedNames/>
  <calcPr/>
  <extLst>
    <ext uri="GoogleSheetsCustomDataVersion2">
      <go:sheetsCustomData xmlns:go="http://customooxmlschemas.google.com/" r:id="rId6" roundtripDataChecksum="qr5/gQksbPvDeFJgLVNz7E7eGIY+Ctnpd5ZcurFCVS8="/>
    </ext>
  </extLst>
</workbook>
</file>

<file path=xl/sharedStrings.xml><?xml version="1.0" encoding="utf-8"?>
<sst xmlns="http://schemas.openxmlformats.org/spreadsheetml/2006/main" count="100" uniqueCount="34">
  <si>
    <t>System Name</t>
  </si>
  <si>
    <t>Document Name</t>
  </si>
  <si>
    <t>Web</t>
  </si>
  <si>
    <t>Chrome</t>
  </si>
  <si>
    <t>OK</t>
  </si>
  <si>
    <t>NG</t>
  </si>
  <si>
    <t>Untested</t>
  </si>
  <si>
    <t>NA</t>
  </si>
  <si>
    <t>Number of Test cases</t>
  </si>
  <si>
    <t>Phase</t>
  </si>
  <si>
    <t>Integration testing</t>
  </si>
  <si>
    <t>Screen Name</t>
  </si>
  <si>
    <t>Safari</t>
  </si>
  <si>
    <t>Created By</t>
  </si>
  <si>
    <t>Created Date</t>
  </si>
  <si>
    <t>Total</t>
  </si>
  <si>
    <t>Updated By</t>
  </si>
  <si>
    <t>Updated Date</t>
  </si>
  <si>
    <t>Test case ID</t>
  </si>
  <si>
    <t>Roles</t>
  </si>
  <si>
    <t>Test Title/Summary of test cases</t>
  </si>
  <si>
    <t>Test Steps</t>
  </si>
  <si>
    <t>Expected Results</t>
  </si>
  <si>
    <t>Test Priority</t>
  </si>
  <si>
    <t>Confirmation Data</t>
  </si>
  <si>
    <t>Round1</t>
  </si>
  <si>
    <t>Round2</t>
  </si>
  <si>
    <t>L1</t>
  </si>
  <si>
    <t>L2</t>
  </si>
  <si>
    <t>L3</t>
  </si>
  <si>
    <t>Assignee</t>
  </si>
  <si>
    <t>Execution Date</t>
  </si>
  <si>
    <t>Test Result</t>
  </si>
  <si>
    <t>BugID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</si>
</sst>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\-mmm\-yy"/>
    <numFmt numFmtId="165" formatCode="d&quot;-&quot;mmm&quot;-&quot;yy"/>
    <numFmt numFmtId="166" formatCode="d-mmm-yy"/>
  </numFmts>
  <fonts count="6">
    <font>
      <sz val="11.0"/>
      <color rgb="FF000000"/>
      <name val="Calibri"/>
      <scheme val="minor"/>
    </font>
    <font>
      <b/>
      <sz val="10.0"/>
      <color theme="1"/>
      <name val="Arial"/>
    </font>
    <font/>
    <font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F9CB9C"/>
        <bgColor rgb="FFF9CB9C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F2CC"/>
        <bgColor rgb="FFFFF2CC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vertical="center"/>
    </xf>
    <xf borderId="4" fillId="2" fontId="1" numFmtId="49" xfId="0" applyAlignment="1" applyBorder="1" applyFont="1" applyNumberFormat="1">
      <alignment vertical="center"/>
    </xf>
    <xf borderId="5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vertical="center"/>
    </xf>
    <xf borderId="5" fillId="4" fontId="3" numFmtId="0" xfId="0" applyAlignment="1" applyBorder="1" applyFill="1" applyFont="1">
      <alignment horizontal="center" vertical="center"/>
    </xf>
    <xf borderId="6" fillId="5" fontId="3" numFmtId="0" xfId="0" applyAlignment="1" applyBorder="1" applyFill="1" applyFont="1">
      <alignment horizontal="center" vertical="center"/>
    </xf>
    <xf borderId="5" fillId="4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vertical="center"/>
    </xf>
    <xf borderId="7" fillId="0" fontId="1" numFmtId="49" xfId="0" applyAlignment="1" applyBorder="1" applyFont="1" applyNumberFormat="1">
      <alignment vertical="center"/>
    </xf>
    <xf borderId="8" fillId="0" fontId="2" numFmtId="0" xfId="0" applyBorder="1" applyFont="1"/>
    <xf borderId="1" fillId="0" fontId="5" numFmtId="0" xfId="0" applyAlignment="1" applyBorder="1" applyFont="1">
      <alignment vertical="center"/>
    </xf>
    <xf borderId="9" fillId="0" fontId="2" numFmtId="0" xfId="0" applyBorder="1" applyFont="1"/>
    <xf borderId="1" fillId="2" fontId="1" numFmtId="0" xfId="0" applyAlignment="1" applyBorder="1" applyFont="1">
      <alignment shrinkToFit="0" vertical="center" wrapText="1"/>
    </xf>
    <xf borderId="10" fillId="2" fontId="1" numFmtId="49" xfId="0" applyAlignment="1" applyBorder="1" applyFont="1" applyNumberFormat="1">
      <alignment vertical="center"/>
    </xf>
    <xf borderId="1" fillId="3" fontId="1" numFmtId="164" xfId="0" applyAlignment="1" applyBorder="1" applyFont="1" applyNumberFormat="1">
      <alignment horizontal="left" vertical="center"/>
    </xf>
    <xf borderId="11" fillId="2" fontId="5" numFmtId="0" xfId="0" applyAlignment="1" applyBorder="1" applyFont="1">
      <alignment horizontal="center" vertical="center"/>
    </xf>
    <xf borderId="5" fillId="5" fontId="3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" fillId="2" fontId="5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5" fillId="7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6" fillId="2" fontId="5" numFmtId="0" xfId="0" applyAlignment="1" applyBorder="1" applyFont="1">
      <alignment horizontal="center" vertical="center"/>
    </xf>
    <xf borderId="5" fillId="6" fontId="1" numFmtId="0" xfId="0" applyAlignment="1" applyBorder="1" applyFont="1">
      <alignment horizontal="center" shrinkToFit="0" vertical="center" wrapText="1"/>
    </xf>
    <xf borderId="6" fillId="5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8" fontId="1" numFmtId="0" xfId="0" applyAlignment="1" applyBorder="1" applyFill="1" applyFont="1">
      <alignment vertical="top"/>
    </xf>
    <xf borderId="2" fillId="8" fontId="3" numFmtId="0" xfId="0" applyAlignment="1" applyBorder="1" applyFont="1">
      <alignment vertical="top"/>
    </xf>
    <xf borderId="2" fillId="8" fontId="3" numFmtId="0" xfId="0" applyAlignment="1" applyBorder="1" applyFont="1">
      <alignment horizontal="center" vertical="center"/>
    </xf>
    <xf borderId="2" fillId="8" fontId="3" numFmtId="0" xfId="0" applyAlignment="1" applyBorder="1" applyFont="1">
      <alignment horizontal="center" shrinkToFit="0" vertical="center" wrapText="1"/>
    </xf>
    <xf borderId="3" fillId="8" fontId="3" numFmtId="0" xfId="0" applyAlignment="1" applyBorder="1" applyFont="1">
      <alignment horizontal="center" vertical="center"/>
    </xf>
    <xf borderId="0" fillId="0" fontId="4" numFmtId="0" xfId="0" applyAlignment="1" applyFont="1">
      <alignment vertical="top"/>
    </xf>
    <xf borderId="0" fillId="0" fontId="3" numFmtId="0" xfId="0" applyAlignment="1" applyFont="1">
      <alignment vertical="top"/>
    </xf>
    <xf borderId="4" fillId="5" fontId="1" numFmtId="0" xfId="0" applyAlignment="1" applyBorder="1" applyFont="1">
      <alignment horizontal="center" vertical="center"/>
    </xf>
    <xf borderId="4" fillId="9" fontId="1" numFmtId="0" xfId="0" applyAlignment="1" applyBorder="1" applyFill="1" applyFont="1">
      <alignment vertical="top"/>
    </xf>
    <xf borderId="10" fillId="9" fontId="3" numFmtId="0" xfId="0" applyAlignment="1" applyBorder="1" applyFont="1">
      <alignment vertical="top"/>
    </xf>
    <xf borderId="10" fillId="9" fontId="3" numFmtId="0" xfId="0" applyAlignment="1" applyBorder="1" applyFont="1">
      <alignment horizontal="center" vertical="center"/>
    </xf>
    <xf borderId="10" fillId="9" fontId="3" numFmtId="14" xfId="0" applyAlignment="1" applyBorder="1" applyFont="1" applyNumberFormat="1">
      <alignment horizontal="center" vertical="center"/>
    </xf>
    <xf borderId="10" fillId="9" fontId="3" numFmtId="14" xfId="0" applyAlignment="1" applyBorder="1" applyFont="1" applyNumberFormat="1">
      <alignment horizontal="center" shrinkToFit="0" vertical="center" wrapText="1"/>
    </xf>
    <xf borderId="14" fillId="9" fontId="3" numFmtId="14" xfId="0" applyAlignment="1" applyBorder="1" applyFont="1" applyNumberFormat="1">
      <alignment horizontal="center" vertical="center"/>
    </xf>
    <xf borderId="6" fillId="5" fontId="3" numFmtId="0" xfId="0" applyAlignment="1" applyBorder="1" applyFont="1">
      <alignment horizontal="center" shrinkToFit="0" vertical="top" wrapText="1"/>
    </xf>
    <xf borderId="6" fillId="5" fontId="1" numFmtId="0" xfId="0" applyAlignment="1" applyBorder="1" applyFont="1">
      <alignment horizontal="center" shrinkToFit="0" vertical="top" wrapText="1"/>
    </xf>
    <xf borderId="1" fillId="10" fontId="1" numFmtId="0" xfId="0" applyAlignment="1" applyBorder="1" applyFill="1" applyFont="1">
      <alignment shrinkToFit="0" vertical="top" wrapText="1"/>
    </xf>
    <xf borderId="6" fillId="10" fontId="3" numFmtId="0" xfId="0" applyAlignment="1" applyBorder="1" applyFont="1">
      <alignment vertical="bottom"/>
    </xf>
    <xf borderId="6" fillId="10" fontId="3" numFmtId="14" xfId="0" applyAlignment="1" applyBorder="1" applyFont="1" applyNumberFormat="1">
      <alignment vertical="bottom"/>
    </xf>
    <xf borderId="6" fillId="10" fontId="3" numFmtId="165" xfId="0" applyAlignment="1" applyBorder="1" applyFont="1" applyNumberFormat="1">
      <alignment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vertical="bottom"/>
    </xf>
    <xf borderId="1" fillId="8" fontId="1" numFmtId="0" xfId="0" applyAlignment="1" applyBorder="1" applyFont="1">
      <alignment shrinkToFit="0" vertical="top" wrapText="1"/>
    </xf>
    <xf borderId="6" fillId="8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shrinkToFit="0" vertical="top" wrapText="1"/>
    </xf>
    <xf borderId="1" fillId="9" fontId="1" numFmtId="0" xfId="0" applyAlignment="1" applyBorder="1" applyFont="1">
      <alignment shrinkToFit="0" vertical="top" wrapText="1"/>
    </xf>
    <xf borderId="6" fillId="9" fontId="3" numFmtId="0" xfId="0" applyAlignment="1" applyBorder="1" applyFont="1">
      <alignment vertical="bottom"/>
    </xf>
    <xf borderId="6" fillId="9" fontId="3" numFmtId="14" xfId="0" applyAlignment="1" applyBorder="1" applyFont="1" applyNumberFormat="1">
      <alignment vertical="bottom"/>
    </xf>
    <xf borderId="6" fillId="10" fontId="3" numFmtId="166" xfId="0" applyAlignment="1" applyBorder="1" applyFont="1" applyNumberFormat="1">
      <alignment vertical="bottom"/>
    </xf>
    <xf borderId="0" fillId="0" fontId="3" numFmtId="166" xfId="0" applyAlignment="1" applyFont="1" applyNumberFormat="1">
      <alignment vertical="bottom"/>
    </xf>
    <xf borderId="6" fillId="0" fontId="3" numFmtId="0" xfId="0" applyAlignment="1" applyBorder="1" applyFont="1">
      <alignment vertical="top"/>
    </xf>
    <xf borderId="6" fillId="0" fontId="3" numFmtId="0" xfId="0" applyAlignment="1" applyBorder="1" applyFont="1">
      <alignment horizontal="center" shrinkToFit="0" vertical="top" wrapText="1"/>
    </xf>
    <xf borderId="6" fillId="0" fontId="3" numFmtId="166" xfId="0" applyAlignment="1" applyBorder="1" applyFont="1" applyNumberFormat="1">
      <alignment vertical="bottom"/>
    </xf>
    <xf borderId="0" fillId="3" fontId="3" numFmtId="0" xfId="0" applyFont="1"/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2" width="4.71"/>
    <col customWidth="1" min="3" max="3" width="6.0"/>
    <col customWidth="1" min="4" max="4" width="10.43"/>
    <col customWidth="1" min="5" max="5" width="24.71"/>
    <col customWidth="1" min="6" max="6" width="34.14"/>
    <col customWidth="1" min="7" max="7" width="54.0"/>
    <col customWidth="1" min="8" max="8" width="11.57"/>
    <col customWidth="1" min="9" max="9" width="13.57"/>
    <col customWidth="1" min="10" max="28" width="17.29"/>
    <col customWidth="1" min="29" max="29" width="11.29"/>
    <col customWidth="1" min="31" max="31" width="11.29"/>
    <col customWidth="1" min="32" max="37" width="16.29"/>
    <col customWidth="1" min="38" max="43" width="9.86"/>
  </cols>
  <sheetData>
    <row r="1" ht="22.5" customHeight="1">
      <c r="A1" s="1" t="s">
        <v>0</v>
      </c>
      <c r="B1" s="2"/>
      <c r="C1" s="3"/>
      <c r="D1" s="4" t="str">
        <f>Cover!E21</f>
        <v>#REF!</v>
      </c>
      <c r="E1" s="3"/>
      <c r="F1" s="5" t="s">
        <v>1</v>
      </c>
      <c r="G1" s="4" t="str">
        <f>Cover!E22</f>
        <v>#REF!</v>
      </c>
      <c r="H1" s="3"/>
      <c r="I1" s="6" t="s">
        <v>2</v>
      </c>
      <c r="J1" s="7" t="s">
        <v>3</v>
      </c>
      <c r="K1" s="8" t="s">
        <v>4</v>
      </c>
      <c r="L1" s="9">
        <f>COUNTIF(L8:L9,"OK")</f>
        <v>0</v>
      </c>
      <c r="M1" s="10" t="s">
        <v>5</v>
      </c>
      <c r="N1" s="9">
        <f>COUNTIF(L8:L9,"NG")</f>
        <v>0</v>
      </c>
      <c r="O1" s="8" t="s">
        <v>6</v>
      </c>
      <c r="P1" s="9">
        <f>COUNTIF(L8:L9,"Untested")</f>
        <v>0</v>
      </c>
      <c r="Q1" s="8" t="s">
        <v>7</v>
      </c>
      <c r="R1" s="9">
        <f>COUNTIF(L8:L9,"N/A")</f>
        <v>0</v>
      </c>
      <c r="S1" s="10" t="s">
        <v>8</v>
      </c>
      <c r="T1" s="9">
        <f t="shared" ref="T1:T2" si="1">L1+N1+P1+R1</f>
        <v>0</v>
      </c>
      <c r="U1" s="11"/>
      <c r="V1" s="11"/>
      <c r="W1" s="11"/>
      <c r="X1" s="12"/>
      <c r="Y1" s="12"/>
      <c r="Z1" s="12"/>
      <c r="AA1" s="11"/>
      <c r="AB1" s="12"/>
      <c r="AC1" s="11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</row>
    <row r="2" ht="24.0" customHeight="1">
      <c r="A2" s="1" t="s">
        <v>9</v>
      </c>
      <c r="B2" s="2"/>
      <c r="C2" s="3"/>
      <c r="D2" s="14" t="s">
        <v>10</v>
      </c>
      <c r="E2" s="15"/>
      <c r="F2" s="5" t="s">
        <v>11</v>
      </c>
      <c r="G2" s="16" t="str">
        <f>Cover!E22</f>
        <v>#REF!</v>
      </c>
      <c r="H2" s="3"/>
      <c r="I2" s="17"/>
      <c r="J2" s="7" t="s">
        <v>12</v>
      </c>
      <c r="K2" s="17"/>
      <c r="L2" s="9">
        <f>COUNTIF(P8:P9,"OK")</f>
        <v>0</v>
      </c>
      <c r="M2" s="17"/>
      <c r="N2" s="9">
        <f>COUNTIF(P8:P9,"NG")</f>
        <v>0</v>
      </c>
      <c r="O2" s="17"/>
      <c r="P2" s="9">
        <f>COUNTIF(P8:P9,"Untested")</f>
        <v>0</v>
      </c>
      <c r="Q2" s="17"/>
      <c r="R2" s="9">
        <f>COUNTIF(P8:P9,"N/A")</f>
        <v>0</v>
      </c>
      <c r="S2" s="17"/>
      <c r="T2" s="9">
        <f t="shared" si="1"/>
        <v>0</v>
      </c>
      <c r="U2" s="11"/>
      <c r="V2" s="11"/>
      <c r="W2" s="11"/>
      <c r="X2" s="12"/>
      <c r="Y2" s="12"/>
      <c r="Z2" s="12"/>
      <c r="AA2" s="11"/>
      <c r="AB2" s="12"/>
      <c r="AC2" s="11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</row>
    <row r="3" ht="24.0" customHeight="1">
      <c r="A3" s="18" t="s">
        <v>13</v>
      </c>
      <c r="B3" s="2"/>
      <c r="C3" s="3"/>
      <c r="D3" s="4" t="str">
        <f>Cover!E23</f>
        <v>#REF!</v>
      </c>
      <c r="E3" s="3"/>
      <c r="F3" s="19" t="s">
        <v>14</v>
      </c>
      <c r="G3" s="20" t="str">
        <f>Cover!E25</f>
        <v>#REF!</v>
      </c>
      <c r="H3" s="3"/>
      <c r="I3" s="17"/>
      <c r="J3" s="21" t="s">
        <v>15</v>
      </c>
      <c r="K3" s="17"/>
      <c r="L3" s="22">
        <f>sum(L1:L2)</f>
        <v>0</v>
      </c>
      <c r="M3" s="17"/>
      <c r="N3" s="22">
        <f>sum(N1:N2)</f>
        <v>0</v>
      </c>
      <c r="O3" s="17"/>
      <c r="P3" s="22">
        <f>sum(P1:P2)</f>
        <v>0</v>
      </c>
      <c r="Q3" s="17"/>
      <c r="R3" s="22">
        <f>sum(R1:R2)</f>
        <v>0</v>
      </c>
      <c r="S3" s="17"/>
      <c r="T3" s="22">
        <f>sum(T1:T2)</f>
        <v>0</v>
      </c>
      <c r="U3" s="11"/>
      <c r="V3" s="11"/>
      <c r="W3" s="11"/>
      <c r="X3" s="13"/>
      <c r="Y3" s="13"/>
      <c r="Z3" s="12"/>
      <c r="AA3" s="11"/>
      <c r="AB3" s="12"/>
      <c r="AC3" s="11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</row>
    <row r="4" ht="23.25" customHeight="1">
      <c r="A4" s="18" t="s">
        <v>16</v>
      </c>
      <c r="B4" s="2"/>
      <c r="C4" s="3"/>
      <c r="D4" s="4"/>
      <c r="E4" s="3"/>
      <c r="F4" s="5" t="s">
        <v>17</v>
      </c>
      <c r="G4" s="20"/>
      <c r="H4" s="3"/>
      <c r="I4" s="23"/>
      <c r="J4" s="24"/>
      <c r="K4" s="17"/>
      <c r="L4" s="23"/>
      <c r="M4" s="17"/>
      <c r="N4" s="23"/>
      <c r="O4" s="17"/>
      <c r="P4" s="23"/>
      <c r="Q4" s="17"/>
      <c r="R4" s="23"/>
      <c r="S4" s="17"/>
      <c r="T4" s="23"/>
      <c r="U4" s="11"/>
      <c r="V4" s="11"/>
      <c r="W4" s="11"/>
      <c r="X4" s="13"/>
      <c r="Y4" s="13"/>
      <c r="Z4" s="12"/>
      <c r="AA4" s="11"/>
      <c r="AB4" s="12"/>
      <c r="AC4" s="11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</row>
    <row r="5" ht="24.75" customHeight="1">
      <c r="A5" s="25" t="s">
        <v>18</v>
      </c>
      <c r="B5" s="2"/>
      <c r="C5" s="3"/>
      <c r="D5" s="26" t="s">
        <v>19</v>
      </c>
      <c r="E5" s="26" t="s">
        <v>20</v>
      </c>
      <c r="F5" s="26" t="s">
        <v>21</v>
      </c>
      <c r="G5" s="27" t="s">
        <v>22</v>
      </c>
      <c r="H5" s="26" t="s">
        <v>23</v>
      </c>
      <c r="I5" s="6" t="s">
        <v>24</v>
      </c>
      <c r="J5" s="28" t="s">
        <v>25</v>
      </c>
      <c r="K5" s="3"/>
      <c r="L5" s="28" t="s">
        <v>3</v>
      </c>
      <c r="M5" s="3"/>
      <c r="N5" s="28" t="s">
        <v>25</v>
      </c>
      <c r="O5" s="3"/>
      <c r="P5" s="28" t="s">
        <v>12</v>
      </c>
      <c r="Q5" s="3"/>
      <c r="R5" s="29" t="s">
        <v>26</v>
      </c>
      <c r="S5" s="3"/>
      <c r="T5" s="30" t="s">
        <v>3</v>
      </c>
      <c r="U5" s="29" t="s">
        <v>26</v>
      </c>
      <c r="V5" s="3"/>
      <c r="W5" s="30" t="s">
        <v>12</v>
      </c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</row>
    <row r="6" ht="23.25" customHeight="1">
      <c r="A6" s="32" t="s">
        <v>27</v>
      </c>
      <c r="B6" s="32" t="s">
        <v>28</v>
      </c>
      <c r="C6" s="32" t="s">
        <v>29</v>
      </c>
      <c r="D6" s="23"/>
      <c r="E6" s="23"/>
      <c r="F6" s="23"/>
      <c r="G6" s="23"/>
      <c r="H6" s="23"/>
      <c r="I6" s="23"/>
      <c r="J6" s="33" t="s">
        <v>30</v>
      </c>
      <c r="K6" s="33" t="s">
        <v>31</v>
      </c>
      <c r="L6" s="33" t="s">
        <v>32</v>
      </c>
      <c r="M6" s="33" t="s">
        <v>33</v>
      </c>
      <c r="N6" s="33" t="s">
        <v>30</v>
      </c>
      <c r="O6" s="33" t="s">
        <v>31</v>
      </c>
      <c r="P6" s="33" t="s">
        <v>32</v>
      </c>
      <c r="Q6" s="33" t="s">
        <v>33</v>
      </c>
      <c r="R6" s="30" t="s">
        <v>30</v>
      </c>
      <c r="S6" s="30" t="s">
        <v>31</v>
      </c>
      <c r="T6" s="30" t="s">
        <v>32</v>
      </c>
      <c r="U6" s="30" t="s">
        <v>30</v>
      </c>
      <c r="V6" s="30" t="s">
        <v>31</v>
      </c>
      <c r="W6" s="30" t="s">
        <v>32</v>
      </c>
      <c r="X6" s="11"/>
      <c r="Y6" s="1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</row>
    <row r="7">
      <c r="A7" s="34"/>
      <c r="B7" s="34"/>
      <c r="C7" s="35"/>
      <c r="D7" s="36"/>
      <c r="E7" s="37"/>
      <c r="F7" s="37"/>
      <c r="G7" s="37"/>
      <c r="H7" s="38"/>
      <c r="I7" s="38"/>
      <c r="J7" s="38"/>
      <c r="K7" s="38"/>
      <c r="L7" s="38"/>
      <c r="M7" s="39"/>
      <c r="N7" s="39"/>
      <c r="O7" s="39"/>
      <c r="P7" s="38"/>
      <c r="Q7" s="38"/>
      <c r="R7" s="38"/>
      <c r="S7" s="38"/>
      <c r="T7" s="38"/>
      <c r="U7" s="38"/>
      <c r="V7" s="38"/>
      <c r="W7" s="40"/>
      <c r="X7" s="41"/>
      <c r="Y7" s="41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1"/>
      <c r="AM7" s="41"/>
      <c r="AN7" s="41"/>
      <c r="AO7" s="41"/>
      <c r="AP7" s="41"/>
      <c r="AQ7" s="41"/>
    </row>
    <row r="8">
      <c r="A8" s="34"/>
      <c r="B8" s="34"/>
      <c r="C8" s="43"/>
      <c r="D8" s="44"/>
      <c r="E8" s="45"/>
      <c r="F8" s="45"/>
      <c r="G8" s="45"/>
      <c r="H8" s="46"/>
      <c r="I8" s="46"/>
      <c r="J8" s="47"/>
      <c r="K8" s="47"/>
      <c r="L8" s="47"/>
      <c r="M8" s="48"/>
      <c r="N8" s="48"/>
      <c r="O8" s="48"/>
      <c r="P8" s="47"/>
      <c r="Q8" s="47"/>
      <c r="R8" s="47"/>
      <c r="S8" s="47"/>
      <c r="T8" s="47"/>
      <c r="U8" s="47"/>
      <c r="V8" s="47"/>
      <c r="W8" s="49"/>
      <c r="X8" s="41"/>
      <c r="Y8" s="41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1"/>
      <c r="AM8" s="41"/>
      <c r="AN8" s="41"/>
      <c r="AO8" s="41"/>
      <c r="AP8" s="41"/>
      <c r="AQ8" s="41"/>
    </row>
    <row r="9">
      <c r="A9" s="50"/>
      <c r="B9" s="51"/>
      <c r="C9" s="51"/>
      <c r="D9" s="52"/>
      <c r="E9" s="3"/>
      <c r="F9" s="53"/>
      <c r="G9" s="54"/>
      <c r="H9" s="54"/>
      <c r="I9" s="54"/>
      <c r="J9" s="54"/>
      <c r="K9" s="55"/>
      <c r="L9" s="54"/>
      <c r="M9" s="54"/>
      <c r="N9" s="54"/>
      <c r="O9" s="54"/>
      <c r="P9" s="54"/>
      <c r="Q9" s="56"/>
      <c r="R9" s="56"/>
      <c r="S9" s="56"/>
      <c r="T9" s="56"/>
      <c r="U9" s="56"/>
      <c r="V9" s="56"/>
      <c r="W9" s="56"/>
      <c r="X9" s="57"/>
      <c r="Y9" s="57"/>
      <c r="Z9" s="57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</row>
  </sheetData>
  <mergeCells count="38">
    <mergeCell ref="A2:C2"/>
    <mergeCell ref="D2:E2"/>
    <mergeCell ref="A1:C1"/>
    <mergeCell ref="A3:C3"/>
    <mergeCell ref="A4:C4"/>
    <mergeCell ref="A5:C5"/>
    <mergeCell ref="D5:D6"/>
    <mergeCell ref="F5:F6"/>
    <mergeCell ref="Q1:Q4"/>
    <mergeCell ref="S1:S4"/>
    <mergeCell ref="R3:R4"/>
    <mergeCell ref="T3:T4"/>
    <mergeCell ref="R5:S5"/>
    <mergeCell ref="U5:V5"/>
    <mergeCell ref="G2:H2"/>
    <mergeCell ref="G3:H3"/>
    <mergeCell ref="G5:G6"/>
    <mergeCell ref="H5:H6"/>
    <mergeCell ref="I5:I6"/>
    <mergeCell ref="J3:J4"/>
    <mergeCell ref="L3:L4"/>
    <mergeCell ref="J5:K5"/>
    <mergeCell ref="L5:M5"/>
    <mergeCell ref="N3:N4"/>
    <mergeCell ref="P3:P4"/>
    <mergeCell ref="N5:O5"/>
    <mergeCell ref="P5:Q5"/>
    <mergeCell ref="D4:E4"/>
    <mergeCell ref="G4:H4"/>
    <mergeCell ref="D1:E1"/>
    <mergeCell ref="G1:H1"/>
    <mergeCell ref="I1:I4"/>
    <mergeCell ref="K1:K4"/>
    <mergeCell ref="M1:M4"/>
    <mergeCell ref="O1:O4"/>
    <mergeCell ref="D3:E3"/>
    <mergeCell ref="E5:E6"/>
    <mergeCell ref="D9:E9"/>
  </mergeCells>
  <conditionalFormatting sqref="L1:L3 P1 N3 P3 R3 T3 L5:L9 R5:R6 T5:U6 W5:W6">
    <cfRule type="cellIs" dxfId="0" priority="1" operator="equal">
      <formula>"OK"</formula>
    </cfRule>
  </conditionalFormatting>
  <conditionalFormatting sqref="L1:L3 P1 N3 P3 R3 T3 L5:L9 R5:R6 T5:U6 W5:W6">
    <cfRule type="cellIs" dxfId="1" priority="2" operator="equal">
      <formula>"NG"</formula>
    </cfRule>
  </conditionalFormatting>
  <conditionalFormatting sqref="N1:N3 P1:P3 P6:P9 Q9:W9">
    <cfRule type="cellIs" dxfId="0" priority="3" operator="equal">
      <formula>"OK"</formula>
    </cfRule>
  </conditionalFormatting>
  <conditionalFormatting sqref="N1:N3 P1:P3 P6:P9 Q9:W9">
    <cfRule type="cellIs" dxfId="1" priority="4" operator="equal">
      <formula>"NG"</formula>
    </cfRule>
  </conditionalFormatting>
  <conditionalFormatting sqref="T1:T3 T5:T9">
    <cfRule type="cellIs" dxfId="0" priority="5" operator="equal">
      <formula>"OK"</formula>
    </cfRule>
  </conditionalFormatting>
  <conditionalFormatting sqref="T1:T3 T5:T9">
    <cfRule type="cellIs" dxfId="1" priority="6" operator="equal">
      <formula>"NG"</formula>
    </cfRule>
  </conditionalFormatting>
  <conditionalFormatting sqref="S1 T5:T6 W5:W6 AB5:AB6 AE5:AE6">
    <cfRule type="cellIs" dxfId="0" priority="7" operator="equal">
      <formula>"OK"</formula>
    </cfRule>
  </conditionalFormatting>
  <conditionalFormatting sqref="S1 T5:T6 W5:W6 AB5:AB6 AE5:AE6">
    <cfRule type="cellIs" dxfId="1" priority="8" operator="equal">
      <formula>"NG"</formula>
    </cfRule>
  </conditionalFormatting>
  <printOptions horizontalCentered="1"/>
  <pageMargins bottom="0.3937007874015748" footer="0.0" header="0.0" left="0.3937007874015748" right="0.3937007874015748" top="0.7874015748031497"/>
  <pageSetup fitToHeight="0" paperSize="9" orientation="landscape"/>
  <headerFooter>
    <oddFooter>&amp;LDate: &amp;D &amp;T&amp;C&amp;F&amp;R Page: &amp;P 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2" width="4.71"/>
    <col customWidth="1" min="3" max="3" width="6.0"/>
    <col customWidth="1" min="4" max="4" width="10.43"/>
    <col customWidth="1" min="5" max="5" width="39.86"/>
    <col customWidth="1" min="6" max="6" width="49.71"/>
    <col customWidth="1" min="7" max="7" width="44.29"/>
    <col customWidth="1" min="8" max="8" width="11.57"/>
    <col customWidth="1" min="9" max="9" width="13.57"/>
    <col customWidth="1" min="10" max="28" width="17.29"/>
    <col customWidth="1" min="29" max="29" width="11.29"/>
    <col customWidth="1" min="31" max="31" width="11.29"/>
    <col customWidth="1" min="32" max="37" width="16.29"/>
    <col customWidth="1" min="38" max="55" width="9.86"/>
  </cols>
  <sheetData>
    <row r="1" ht="22.5" customHeight="1">
      <c r="A1" s="1" t="s">
        <v>0</v>
      </c>
      <c r="B1" s="2"/>
      <c r="C1" s="3"/>
      <c r="D1" s="4" t="str">
        <f>Cover!E21</f>
        <v>#REF!</v>
      </c>
      <c r="E1" s="3"/>
      <c r="F1" s="5" t="s">
        <v>1</v>
      </c>
      <c r="G1" s="4" t="str">
        <f>Cover!E22</f>
        <v>#REF!</v>
      </c>
      <c r="H1" s="3"/>
      <c r="I1" s="6" t="s">
        <v>2</v>
      </c>
      <c r="J1" s="7" t="s">
        <v>3</v>
      </c>
      <c r="K1" s="8" t="s">
        <v>4</v>
      </c>
      <c r="L1" s="9">
        <f>COUNTIF(L9:L14,"OK")</f>
        <v>0</v>
      </c>
      <c r="M1" s="10" t="s">
        <v>5</v>
      </c>
      <c r="N1" s="9">
        <f>COUNTIF(L9:BO7109,"NG")</f>
        <v>0</v>
      </c>
      <c r="O1" s="8" t="s">
        <v>6</v>
      </c>
      <c r="P1" s="9">
        <f>COUNTIF(L9:L14,"Untested")</f>
        <v>0</v>
      </c>
      <c r="Q1" s="8" t="s">
        <v>7</v>
      </c>
      <c r="R1" s="9">
        <f>COUNTIF(L9:L14,"N/A")</f>
        <v>0</v>
      </c>
      <c r="S1" s="10" t="s">
        <v>8</v>
      </c>
      <c r="T1" s="9">
        <f t="shared" ref="T1:T2" si="1">L1+N1+P1+R1</f>
        <v>0</v>
      </c>
      <c r="U1" s="11"/>
      <c r="V1" s="11"/>
      <c r="W1" s="11"/>
      <c r="X1" s="12"/>
      <c r="Y1" s="12"/>
      <c r="Z1" s="12"/>
      <c r="AA1" s="11"/>
      <c r="AB1" s="12"/>
      <c r="AC1" s="11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</row>
    <row r="2" ht="24.0" customHeight="1">
      <c r="A2" s="1" t="s">
        <v>9</v>
      </c>
      <c r="B2" s="2"/>
      <c r="C2" s="3"/>
      <c r="D2" s="14" t="s">
        <v>10</v>
      </c>
      <c r="E2" s="15"/>
      <c r="F2" s="5" t="s">
        <v>11</v>
      </c>
      <c r="G2" s="16" t="str">
        <f>Cover!E22</f>
        <v>#REF!</v>
      </c>
      <c r="H2" s="3"/>
      <c r="I2" s="17"/>
      <c r="J2" s="7" t="s">
        <v>12</v>
      </c>
      <c r="K2" s="17"/>
      <c r="L2" s="9">
        <f>COUNTIF(P9:P14,"OK")</f>
        <v>0</v>
      </c>
      <c r="M2" s="17"/>
      <c r="N2" s="9">
        <f>COUNTIF(P9:P14,"NG")</f>
        <v>0</v>
      </c>
      <c r="O2" s="17"/>
      <c r="P2" s="9">
        <f>COUNTIF(P9:P14,"Untested")</f>
        <v>0</v>
      </c>
      <c r="Q2" s="17"/>
      <c r="R2" s="9">
        <f>COUNTIF(P9:P14,"N/A")</f>
        <v>0</v>
      </c>
      <c r="S2" s="17"/>
      <c r="T2" s="9">
        <f t="shared" si="1"/>
        <v>0</v>
      </c>
      <c r="U2" s="11"/>
      <c r="V2" s="11"/>
      <c r="W2" s="11"/>
      <c r="X2" s="12"/>
      <c r="Y2" s="12"/>
      <c r="Z2" s="12"/>
      <c r="AA2" s="11"/>
      <c r="AB2" s="12"/>
      <c r="AC2" s="11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</row>
    <row r="3" ht="24.0" customHeight="1">
      <c r="A3" s="18" t="s">
        <v>13</v>
      </c>
      <c r="B3" s="2"/>
      <c r="C3" s="3"/>
      <c r="D3" s="4" t="str">
        <f>Cover!E23</f>
        <v>#REF!</v>
      </c>
      <c r="E3" s="3"/>
      <c r="F3" s="19" t="s">
        <v>14</v>
      </c>
      <c r="G3" s="20" t="str">
        <f>Cover!E25</f>
        <v>#REF!</v>
      </c>
      <c r="H3" s="3"/>
      <c r="I3" s="17"/>
      <c r="J3" s="21" t="s">
        <v>15</v>
      </c>
      <c r="K3" s="17"/>
      <c r="L3" s="22">
        <f>sum(L1:L2)</f>
        <v>0</v>
      </c>
      <c r="M3" s="17"/>
      <c r="N3" s="22">
        <f>sum(N1:N2)</f>
        <v>0</v>
      </c>
      <c r="O3" s="17"/>
      <c r="P3" s="22">
        <f>sum(P1:P2)</f>
        <v>0</v>
      </c>
      <c r="Q3" s="17"/>
      <c r="R3" s="22">
        <f>sum(R1:R2)</f>
        <v>0</v>
      </c>
      <c r="S3" s="17"/>
      <c r="T3" s="22">
        <f>sum(T1:T2)</f>
        <v>0</v>
      </c>
      <c r="U3" s="11"/>
      <c r="V3" s="11"/>
      <c r="W3" s="11"/>
      <c r="X3" s="12"/>
      <c r="Y3" s="12"/>
      <c r="Z3" s="12"/>
      <c r="AA3" s="11"/>
      <c r="AB3" s="12"/>
      <c r="AC3" s="11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</row>
    <row r="4" ht="23.25" customHeight="1">
      <c r="A4" s="18" t="s">
        <v>16</v>
      </c>
      <c r="B4" s="2"/>
      <c r="C4" s="3"/>
      <c r="D4" s="4"/>
      <c r="E4" s="3"/>
      <c r="F4" s="5" t="s">
        <v>17</v>
      </c>
      <c r="G4" s="20"/>
      <c r="H4" s="3"/>
      <c r="I4" s="23"/>
      <c r="J4" s="24"/>
      <c r="K4" s="17"/>
      <c r="L4" s="23"/>
      <c r="M4" s="17"/>
      <c r="N4" s="23"/>
      <c r="O4" s="17"/>
      <c r="P4" s="23"/>
      <c r="Q4" s="17"/>
      <c r="R4" s="23"/>
      <c r="S4" s="17"/>
      <c r="T4" s="23"/>
      <c r="U4" s="11"/>
      <c r="V4" s="11"/>
      <c r="W4" s="11"/>
      <c r="X4" s="12"/>
      <c r="Y4" s="12"/>
      <c r="Z4" s="12"/>
      <c r="AA4" s="11"/>
      <c r="AB4" s="12"/>
      <c r="AC4" s="11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</row>
    <row r="5" ht="24.75" customHeight="1">
      <c r="A5" s="25" t="s">
        <v>18</v>
      </c>
      <c r="B5" s="2"/>
      <c r="C5" s="3"/>
      <c r="D5" s="26" t="s">
        <v>19</v>
      </c>
      <c r="E5" s="26" t="s">
        <v>20</v>
      </c>
      <c r="F5" s="26" t="s">
        <v>21</v>
      </c>
      <c r="G5" s="27" t="s">
        <v>22</v>
      </c>
      <c r="H5" s="26" t="s">
        <v>23</v>
      </c>
      <c r="I5" s="6" t="s">
        <v>24</v>
      </c>
      <c r="J5" s="28" t="s">
        <v>25</v>
      </c>
      <c r="K5" s="3"/>
      <c r="L5" s="28" t="s">
        <v>3</v>
      </c>
      <c r="M5" s="3"/>
      <c r="N5" s="28" t="s">
        <v>25</v>
      </c>
      <c r="O5" s="3"/>
      <c r="P5" s="28" t="s">
        <v>12</v>
      </c>
      <c r="Q5" s="3"/>
      <c r="R5" s="29" t="s">
        <v>26</v>
      </c>
      <c r="S5" s="3"/>
      <c r="T5" s="30" t="s">
        <v>3</v>
      </c>
      <c r="U5" s="29" t="s">
        <v>26</v>
      </c>
      <c r="V5" s="3"/>
      <c r="W5" s="30" t="s">
        <v>12</v>
      </c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</row>
    <row r="6" ht="23.25" customHeight="1">
      <c r="A6" s="32" t="s">
        <v>27</v>
      </c>
      <c r="B6" s="32" t="s">
        <v>28</v>
      </c>
      <c r="C6" s="32" t="s">
        <v>29</v>
      </c>
      <c r="D6" s="23"/>
      <c r="E6" s="23"/>
      <c r="F6" s="23"/>
      <c r="G6" s="23"/>
      <c r="H6" s="23"/>
      <c r="I6" s="23"/>
      <c r="J6" s="33" t="s">
        <v>30</v>
      </c>
      <c r="K6" s="33" t="s">
        <v>31</v>
      </c>
      <c r="L6" s="33" t="s">
        <v>32</v>
      </c>
      <c r="M6" s="33" t="s">
        <v>33</v>
      </c>
      <c r="N6" s="33" t="s">
        <v>30</v>
      </c>
      <c r="O6" s="33" t="s">
        <v>31</v>
      </c>
      <c r="P6" s="33" t="s">
        <v>32</v>
      </c>
      <c r="Q6" s="33" t="s">
        <v>33</v>
      </c>
      <c r="R6" s="30" t="s">
        <v>30</v>
      </c>
      <c r="S6" s="30" t="s">
        <v>31</v>
      </c>
      <c r="T6" s="30" t="s">
        <v>32</v>
      </c>
      <c r="U6" s="30" t="s">
        <v>30</v>
      </c>
      <c r="V6" s="30" t="s">
        <v>31</v>
      </c>
      <c r="W6" s="30" t="s">
        <v>32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</row>
    <row r="7">
      <c r="A7" s="51"/>
      <c r="B7" s="51"/>
      <c r="C7" s="51"/>
      <c r="D7" s="58"/>
      <c r="E7" s="3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7"/>
      <c r="R7" s="57"/>
      <c r="S7" s="57"/>
      <c r="T7" s="57"/>
      <c r="U7" s="57"/>
      <c r="V7" s="57"/>
      <c r="W7" s="57"/>
      <c r="X7" s="57"/>
      <c r="Y7" s="57"/>
      <c r="Z7" s="57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</row>
    <row r="8">
      <c r="A8" s="50"/>
      <c r="B8" s="50"/>
      <c r="C8" s="50"/>
      <c r="D8" s="60"/>
      <c r="E8" s="61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57"/>
      <c r="R8" s="57"/>
      <c r="S8" s="57"/>
      <c r="T8" s="57"/>
      <c r="U8" s="57"/>
      <c r="V8" s="57"/>
      <c r="W8" s="57"/>
      <c r="X8" s="57"/>
      <c r="Y8" s="57"/>
      <c r="Z8" s="57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</row>
    <row r="9">
      <c r="A9" s="51"/>
      <c r="B9" s="51"/>
      <c r="C9" s="51"/>
      <c r="D9" s="62"/>
      <c r="E9" s="3"/>
      <c r="F9" s="63"/>
      <c r="G9" s="63"/>
      <c r="H9" s="63"/>
      <c r="I9" s="63"/>
      <c r="J9" s="64"/>
      <c r="K9" s="64"/>
      <c r="L9" s="64"/>
      <c r="M9" s="64"/>
      <c r="N9" s="64"/>
      <c r="O9" s="64"/>
      <c r="P9" s="64"/>
      <c r="Q9" s="56"/>
      <c r="R9" s="56"/>
      <c r="S9" s="56"/>
      <c r="T9" s="56"/>
      <c r="U9" s="56"/>
      <c r="V9" s="56"/>
      <c r="W9" s="56"/>
      <c r="X9" s="57"/>
      <c r="Y9" s="57"/>
      <c r="Z9" s="57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</row>
    <row r="10">
      <c r="A10" s="51"/>
      <c r="B10" s="51"/>
      <c r="C10" s="51"/>
      <c r="D10" s="52"/>
      <c r="E10" s="3"/>
      <c r="F10" s="53"/>
      <c r="G10" s="53"/>
      <c r="H10" s="53"/>
      <c r="I10" s="53"/>
      <c r="J10" s="53"/>
      <c r="K10" s="65"/>
      <c r="L10" s="53"/>
      <c r="M10" s="53"/>
      <c r="N10" s="53"/>
      <c r="O10" s="65"/>
      <c r="P10" s="53"/>
      <c r="Q10" s="57"/>
      <c r="R10" s="57"/>
      <c r="S10" s="66"/>
      <c r="T10" s="57"/>
      <c r="U10" s="57"/>
      <c r="V10" s="57"/>
      <c r="W10" s="66"/>
      <c r="X10" s="57"/>
      <c r="Y10" s="57"/>
      <c r="Z10" s="57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</row>
    <row r="11">
      <c r="A11" s="50"/>
      <c r="B11" s="50"/>
      <c r="C11" s="50"/>
      <c r="D11" s="67"/>
      <c r="E11" s="61"/>
      <c r="F11" s="61"/>
      <c r="G11" s="61"/>
      <c r="H11" s="68"/>
      <c r="I11" s="67"/>
      <c r="J11" s="60"/>
      <c r="K11" s="69"/>
      <c r="L11" s="60"/>
      <c r="M11" s="60"/>
      <c r="N11" s="60"/>
      <c r="O11" s="69"/>
      <c r="P11" s="60"/>
      <c r="Q11" s="57"/>
      <c r="R11" s="57"/>
      <c r="S11" s="66"/>
      <c r="T11" s="57"/>
      <c r="U11" s="57"/>
      <c r="V11" s="57"/>
      <c r="W11" s="66"/>
      <c r="X11" s="57"/>
      <c r="Y11" s="57"/>
      <c r="Z11" s="57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</row>
    <row r="12">
      <c r="A12" s="50"/>
      <c r="B12" s="50"/>
      <c r="C12" s="50"/>
      <c r="D12" s="67"/>
      <c r="E12" s="61"/>
      <c r="F12" s="61"/>
      <c r="G12" s="61"/>
      <c r="H12" s="68"/>
      <c r="I12" s="67"/>
      <c r="J12" s="60"/>
      <c r="K12" s="60"/>
      <c r="L12" s="60"/>
      <c r="M12" s="60"/>
      <c r="N12" s="60"/>
      <c r="O12" s="60"/>
      <c r="P12" s="60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</row>
    <row r="13" ht="15.75" customHeight="1">
      <c r="A13" s="12"/>
      <c r="B13" s="12"/>
      <c r="C13" s="12"/>
      <c r="D13" s="41"/>
      <c r="E13" s="71"/>
      <c r="F13" s="41"/>
      <c r="G13" s="41"/>
      <c r="H13" s="11"/>
      <c r="I13" s="11"/>
      <c r="J13" s="11"/>
      <c r="K13" s="11"/>
      <c r="L13" s="11"/>
      <c r="M13" s="72"/>
      <c r="N13" s="72"/>
      <c r="O13" s="72"/>
      <c r="P13" s="11"/>
      <c r="Q13" s="11"/>
      <c r="R13" s="11"/>
      <c r="S13" s="11"/>
      <c r="T13" s="11"/>
      <c r="U13" s="11"/>
      <c r="V13" s="11"/>
      <c r="W13" s="11"/>
      <c r="X13" s="41"/>
      <c r="Y13" s="41"/>
      <c r="Z13" s="41"/>
      <c r="AA13" s="41"/>
      <c r="AB13" s="41"/>
      <c r="AC13" s="41"/>
      <c r="AD13" s="41"/>
      <c r="AE13" s="42"/>
      <c r="AF13" s="42"/>
      <c r="AG13" s="42"/>
      <c r="AH13" s="42"/>
      <c r="AI13" s="42"/>
      <c r="AJ13" s="42"/>
      <c r="AK13" s="42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</row>
    <row r="14" ht="15.75" customHeight="1">
      <c r="A14" s="12"/>
      <c r="B14" s="12"/>
      <c r="C14" s="12"/>
      <c r="D14" s="41"/>
      <c r="E14" s="71"/>
      <c r="F14" s="41"/>
      <c r="G14" s="41"/>
      <c r="H14" s="11"/>
      <c r="I14" s="11"/>
      <c r="J14" s="11"/>
      <c r="K14" s="11"/>
      <c r="L14" s="11"/>
      <c r="M14" s="72"/>
      <c r="N14" s="72"/>
      <c r="O14" s="72"/>
      <c r="P14" s="11"/>
      <c r="Q14" s="11"/>
      <c r="R14" s="11"/>
      <c r="S14" s="11"/>
      <c r="T14" s="11"/>
      <c r="U14" s="11"/>
      <c r="V14" s="11"/>
      <c r="W14" s="11"/>
      <c r="X14" s="41"/>
      <c r="Y14" s="41"/>
      <c r="Z14" s="41"/>
      <c r="AA14" s="41"/>
      <c r="AB14" s="41"/>
      <c r="AC14" s="41"/>
      <c r="AD14" s="41"/>
      <c r="AE14" s="42"/>
      <c r="AF14" s="42"/>
      <c r="AG14" s="42"/>
      <c r="AH14" s="42"/>
      <c r="AI14" s="42"/>
      <c r="AJ14" s="42"/>
      <c r="AK14" s="42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</row>
  </sheetData>
  <mergeCells count="40">
    <mergeCell ref="A1:C1"/>
    <mergeCell ref="A3:C3"/>
    <mergeCell ref="A4:C4"/>
    <mergeCell ref="A5:C5"/>
    <mergeCell ref="D5:D6"/>
    <mergeCell ref="E5:E6"/>
    <mergeCell ref="F5:F6"/>
    <mergeCell ref="D2:E2"/>
    <mergeCell ref="D7:E7"/>
    <mergeCell ref="D9:E9"/>
    <mergeCell ref="D10:E10"/>
    <mergeCell ref="A2:C2"/>
    <mergeCell ref="Q1:Q4"/>
    <mergeCell ref="S1:S4"/>
    <mergeCell ref="R3:R4"/>
    <mergeCell ref="T3:T4"/>
    <mergeCell ref="R5:S5"/>
    <mergeCell ref="U5:V5"/>
    <mergeCell ref="G2:H2"/>
    <mergeCell ref="G3:H3"/>
    <mergeCell ref="G5:G6"/>
    <mergeCell ref="H5:H6"/>
    <mergeCell ref="I5:I6"/>
    <mergeCell ref="J3:J4"/>
    <mergeCell ref="L3:L4"/>
    <mergeCell ref="J5:K5"/>
    <mergeCell ref="L5:M5"/>
    <mergeCell ref="N3:N4"/>
    <mergeCell ref="P3:P4"/>
    <mergeCell ref="N5:O5"/>
    <mergeCell ref="P5:Q5"/>
    <mergeCell ref="D4:E4"/>
    <mergeCell ref="G4:H4"/>
    <mergeCell ref="D1:E1"/>
    <mergeCell ref="G1:H1"/>
    <mergeCell ref="I1:I4"/>
    <mergeCell ref="K1:K4"/>
    <mergeCell ref="M1:M4"/>
    <mergeCell ref="O1:O4"/>
    <mergeCell ref="D3:E3"/>
  </mergeCells>
  <conditionalFormatting sqref="L1:L11 P1 S1 R5:R6 T5:T11 U5:U6 W5:W6 W8:W11 P9:P11 L13:L14">
    <cfRule type="cellIs" dxfId="0" priority="1" operator="equal">
      <formula>"OK"</formula>
    </cfRule>
  </conditionalFormatting>
  <conditionalFormatting sqref="L1:L11 P1 S1 R5:R6 T5:T11 U5:U6 W5:W6 W8:W11 P9:P11 L13:L14">
    <cfRule type="cellIs" dxfId="1" priority="2" operator="equal">
      <formula>"NG"</formula>
    </cfRule>
  </conditionalFormatting>
  <conditionalFormatting sqref="N1:N4 P1:P4 P6:P11 T9:T11 W9:W11 P13:P14">
    <cfRule type="cellIs" dxfId="0" priority="3" operator="equal">
      <formula>"OK"</formula>
    </cfRule>
  </conditionalFormatting>
  <conditionalFormatting sqref="N1:N4 P1:P4 P6:P11 T9:T11 W9:W11 P13:P14">
    <cfRule type="cellIs" dxfId="1" priority="4" operator="equal">
      <formula>"NG"</formula>
    </cfRule>
  </conditionalFormatting>
  <conditionalFormatting sqref="T1:T11 W9:W11 T13:T14">
    <cfRule type="cellIs" dxfId="0" priority="5" operator="equal">
      <formula>"OK"</formula>
    </cfRule>
  </conditionalFormatting>
  <conditionalFormatting sqref="T1:T11 W9:W11 T13:T14">
    <cfRule type="cellIs" dxfId="1" priority="6" operator="equal">
      <formula>"NG"</formula>
    </cfRule>
  </conditionalFormatting>
  <conditionalFormatting sqref="S1 T5:T6 W5:W6 T9:T11 W9:W11 AB13:AB14">
    <cfRule type="cellIs" dxfId="0" priority="7" operator="equal">
      <formula>"OK"</formula>
    </cfRule>
  </conditionalFormatting>
  <conditionalFormatting sqref="S1 T5:T6 W5:W6 T9:T11 W9:W11 AB13:AB14">
    <cfRule type="cellIs" dxfId="1" priority="8" operator="equal">
      <formula>"NG"</formula>
    </cfRule>
  </conditionalFormatting>
  <dataValidations>
    <dataValidation type="list" allowBlank="1" sqref="H10:H11">
      <formula1>"High,Medium,Low"</formula1>
    </dataValidation>
    <dataValidation type="list" allowBlank="1" showErrorMessage="1" sqref="L10:L11 P10:P11 T10:T11">
      <formula1>"OK,NG,Untested,N/A"</formula1>
    </dataValidation>
  </dataValidations>
  <printOptions horizontalCentered="1"/>
  <pageMargins bottom="0.3937007874015748" footer="0.0" header="0.0" left="0.3937007874015748" right="0.3937007874015748" top="0.7874015748031497"/>
  <pageSetup fitToHeight="0" paperSize="9" orientation="landscape"/>
  <headerFooter>
    <oddFooter>&amp;LDate: &amp;D &amp;T&amp;C&amp;F&amp;R Page: &amp;P /</oddFooter>
  </headerFooter>
  <drawing r:id="rId1"/>
</worksheet>
</file>